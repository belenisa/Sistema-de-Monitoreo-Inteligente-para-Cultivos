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/>
  <mc:AlternateContent xmlns:mc="http://schemas.openxmlformats.org/markup-compatibility/2006">
    <mc:Choice Requires="x15">
      <x15ac:absPath xmlns:x15ac="http://schemas.microsoft.com/office/spreadsheetml/2010/11/ac" url="https://usmcl-my.sharepoint.com/personal/belen_alarcon_usm_cl/Documents/duoc/tercer semestre/INGENIERIA DE SOFTWARE/EVALUACION 1/"/>
    </mc:Choice>
  </mc:AlternateContent>
  <xr:revisionPtr revIDLastSave="0" documentId="8_{5CF83079-6A69-463B-83B0-C297F8CD8057}" xr6:coauthVersionLast="47" xr6:coauthVersionMax="47" xr10:uidLastSave="{00000000-0000-0000-0000-000000000000}"/>
  <bookViews>
    <workbookView xWindow="-108" yWindow="-108" windowWidth="23256" windowHeight="12456" xr2:uid="{5A787E23-6A63-46AB-B094-1C203985C67B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H5" i="1" l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G51" i="1"/>
  <c r="G50" i="1"/>
  <c r="G49" i="1"/>
  <c r="F35" i="1"/>
  <c r="A2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K5" i="1"/>
  <c r="P5" i="1" s="1"/>
  <c r="U5" i="1" s="1"/>
  <c r="Z5" i="1" s="1"/>
  <c r="AE5" i="1" s="1"/>
  <c r="AJ5" i="1" s="1"/>
  <c r="AO5" i="1" s="1"/>
  <c r="I6" i="1"/>
  <c r="A1" i="1" s="1"/>
  <c r="AW5" i="1"/>
  <c r="AX5" i="1"/>
  <c r="AY5" i="1"/>
  <c r="AZ5" i="1"/>
  <c r="BC5" i="1"/>
  <c r="BD5" i="1"/>
  <c r="BE5" i="1"/>
  <c r="BR5" i="1"/>
  <c r="BS5" i="1"/>
  <c r="BT5" i="1"/>
  <c r="BU5" i="1"/>
  <c r="CJ5" i="1"/>
  <c r="M5" i="1"/>
  <c r="R5" i="1" s="1"/>
  <c r="W5" i="1" s="1"/>
  <c r="AB5" i="1" s="1"/>
  <c r="AG5" i="1" s="1"/>
  <c r="AL5" i="1" s="1"/>
  <c r="BA5" i="1"/>
  <c r="BB5" i="1"/>
  <c r="BM5" i="1"/>
  <c r="BN5" i="1"/>
  <c r="BO5" i="1"/>
  <c r="BP5" i="1"/>
  <c r="BV5" i="1"/>
  <c r="BY5" i="1"/>
  <c r="CB5" i="1"/>
  <c r="CC5" i="1"/>
  <c r="CD5" i="1"/>
  <c r="CE5" i="1"/>
  <c r="CF5" i="1"/>
  <c r="CG5" i="1"/>
  <c r="CH5" i="1"/>
  <c r="CI5" i="1"/>
  <c r="CK5" i="1"/>
  <c r="BW5" i="1"/>
  <c r="BX5" i="1"/>
  <c r="BZ5" i="1"/>
  <c r="CA5" i="1"/>
  <c r="BI5" i="1"/>
  <c r="BJ5" i="1"/>
  <c r="BK5" i="1"/>
  <c r="BL5" i="1"/>
  <c r="AQ5" i="1"/>
  <c r="AR5" i="1"/>
  <c r="AS5" i="1"/>
  <c r="AT5" i="1"/>
  <c r="AU5" i="1"/>
  <c r="AV5" i="1"/>
  <c r="BF5" i="1"/>
  <c r="BG5" i="1"/>
  <c r="BH5" i="1"/>
  <c r="J5" i="1"/>
  <c r="O5" i="1" s="1"/>
  <c r="T5" i="1" s="1"/>
  <c r="Y5" i="1" s="1"/>
  <c r="AD5" i="1" s="1"/>
  <c r="AI5" i="1" s="1"/>
  <c r="AN5" i="1" s="1"/>
  <c r="L5" i="1"/>
  <c r="Q5" i="1" s="1"/>
  <c r="V5" i="1" s="1"/>
  <c r="AA5" i="1" s="1"/>
  <c r="AF5" i="1" s="1"/>
  <c r="AK5" i="1" s="1"/>
  <c r="AP5" i="1" s="1"/>
  <c r="N5" i="1"/>
  <c r="S5" i="1" s="1"/>
  <c r="X5" i="1" s="1"/>
  <c r="AC5" i="1" s="1"/>
  <c r="AH5" i="1" s="1"/>
  <c r="AM5" i="1" s="1"/>
  <c r="I5" i="1"/>
  <c r="G7" i="1"/>
  <c r="E4" i="1"/>
  <c r="BQ5" i="1" l="1"/>
</calcChain>
</file>

<file path=xl/sharedStrings.xml><?xml version="1.0" encoding="utf-8"?>
<sst xmlns="http://schemas.openxmlformats.org/spreadsheetml/2006/main" count="101" uniqueCount="87">
  <si>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</si>
  <si>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</si>
  <si>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</si>
  <si>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</si>
  <si>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</si>
  <si>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</si>
  <si>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</si>
  <si>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</si>
  <si>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</si>
  <si>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</si>
  <si>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</si>
  <si>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</si>
  <si>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</si>
  <si>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</si>
  <si>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</si>
  <si>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</si>
  <si>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</si>
  <si>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</si>
  <si>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</si>
  <si>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</si>
  <si>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</si>
  <si>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inicio Proyecto</t>
  </si>
  <si>
    <t>Tareas</t>
  </si>
  <si>
    <t>Responsable</t>
  </si>
  <si>
    <t>Prioridad</t>
  </si>
  <si>
    <t>Fecha Inicio</t>
  </si>
  <si>
    <t>Fecha Fin</t>
  </si>
  <si>
    <t>Fase 1: Planificacion</t>
  </si>
  <si>
    <t>Reunion con el cliente</t>
  </si>
  <si>
    <t>Product Owner</t>
  </si>
  <si>
    <t>Recopilacion Requisitos</t>
  </si>
  <si>
    <t>Reunión del equipo</t>
  </si>
  <si>
    <t>Scrum Master/Equipo</t>
  </si>
  <si>
    <t>Análisis y documentación</t>
  </si>
  <si>
    <t>Arq.Soluciones Digitales/Product Owner</t>
  </si>
  <si>
    <t>Fase 2: Diseño</t>
  </si>
  <si>
    <t>Daily</t>
  </si>
  <si>
    <t>Analisis requerimiento</t>
  </si>
  <si>
    <t>Diseño Aequitectura</t>
  </si>
  <si>
    <t>Arq.Soluciones Digitales</t>
  </si>
  <si>
    <t>Fase 3: Desarrollo</t>
  </si>
  <si>
    <t>Desarrollo de la estructura</t>
  </si>
  <si>
    <t>Desarrollador FullStack Senior/ Mobile/Mobile/Consultor Agro-Tecnológico</t>
  </si>
  <si>
    <t>Configuración del servidor</t>
  </si>
  <si>
    <t>Ingeniero DevOps</t>
  </si>
  <si>
    <t>Implementación  Aut. Clima</t>
  </si>
  <si>
    <t>Implementación  Aut. Humedad</t>
  </si>
  <si>
    <t>Fase 4:Desarrollo</t>
  </si>
  <si>
    <t>Desarrollo del frontend básico</t>
  </si>
  <si>
    <t>Desarrollador FullStack Senior/ Mobile/Mobile</t>
  </si>
  <si>
    <t>Visualización de datos de clima</t>
  </si>
  <si>
    <t>Visualización de datos de Humedad</t>
  </si>
  <si>
    <t>Primeras pruebas de interfaz</t>
  </si>
  <si>
    <t>Analista QA/Desarrollador  Mobile/Mobile</t>
  </si>
  <si>
    <t>Fase 5:  Desarrollo</t>
  </si>
  <si>
    <t>Implementación de alertas</t>
  </si>
  <si>
    <t>Int. Funcionalidad Pesticidas</t>
  </si>
  <si>
    <t>Revisión y validación</t>
  </si>
  <si>
    <t>Fase 6: Pruebas</t>
  </si>
  <si>
    <t xml:space="preserve">Integración final </t>
  </si>
  <si>
    <t>Desarrollador FullStack Senior/ Mobile/Mobile/Arq.Soluciones Digitales</t>
  </si>
  <si>
    <t>Pruebas de rendimiento y carga</t>
  </si>
  <si>
    <t>Ingeniero DevOps/Analista QA</t>
  </si>
  <si>
    <t>Validación  Funcionamiento APP</t>
  </si>
  <si>
    <t>Analista QA / Consultor Agro-Tecnológico</t>
  </si>
  <si>
    <t>Corrección de errores detectados</t>
  </si>
  <si>
    <t>D. FullStack Senior / Mobile / Mobile / Analista QA / Scrum Master</t>
  </si>
  <si>
    <t>Fase 7: Pruebas</t>
  </si>
  <si>
    <t>Generación de informes</t>
  </si>
  <si>
    <t>Desarrollador FullStack Senior / Consultor Agro-Tecnológico / Analista QA</t>
  </si>
  <si>
    <t>Cumplimiento Normas Exportación</t>
  </si>
  <si>
    <t>Consultor Agro-Tecnológico / Arq.Soluciones Digitales / Analista QA</t>
  </si>
  <si>
    <t>Revisión de la interfaz de usuario</t>
  </si>
  <si>
    <t>Mobile / Mobile / Analista QA / Product Owner</t>
  </si>
  <si>
    <t>Fase 8: Despliegue</t>
  </si>
  <si>
    <t>Despliegue final de la solución</t>
  </si>
  <si>
    <t>Ingeniero DevOps /  Arq.Soluciones Digitales / Desarrollador FullStack Senior</t>
  </si>
  <si>
    <t>Monitoreo post-lanzamiento</t>
  </si>
  <si>
    <t>Ingeniero DevOps / Analista QA / Desarrollador FullStack Senior</t>
  </si>
  <si>
    <t>Resolución de incidencias</t>
  </si>
  <si>
    <t>D. FullStack Senior / Mobile / Ingeniero DevOps / Analista QA</t>
  </si>
  <si>
    <t>Feedback del cliente</t>
  </si>
  <si>
    <t>Product Owner / Consultor Agro-Tecnológico / Analista QA</t>
  </si>
  <si>
    <t xml:space="preserve">Documentación final </t>
  </si>
  <si>
    <t>Product Owner / Arq.Soluciones Digitales/ Analista QA</t>
  </si>
  <si>
    <t>Entrega del proyecto</t>
  </si>
  <si>
    <t>Scrum Master / Product Owner / Arq.Soluciones Digitales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</si>
</sst>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XDR&quot;* #,##0.00_-;\-&quot;XDR&quot;* #,##0.00_-;_-&quot;XDR&quot;* &quot;-&quot;??_-;_-@_-"/>
    <numFmt numFmtId="165" formatCode="dd/mm/yyyy;@"/>
    <numFmt numFmtId="166" formatCode="dd"/>
    <numFmt numFmtId="167" formatCode="ddd\,\ dd/mm/yyyy"/>
    <numFmt numFmtId="168" formatCode="[$$-340A]#,##0;[Red][$$-340A]#,##0"/>
  </numFmts>
  <fonts count="8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444746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7" fontId="0" fillId="0" borderId="0" xfId="0" applyNumberFormat="1"/>
    <xf numFmtId="165" fontId="3" fillId="0" borderId="1" xfId="0" applyNumberFormat="1" applyFont="1" applyBorder="1" applyAlignment="1">
      <alignment wrapText="1"/>
    </xf>
    <xf numFmtId="168" fontId="0" fillId="0" borderId="0" xfId="0" applyNumberFormat="1"/>
    <xf numFmtId="0" fontId="4" fillId="0" borderId="0" xfId="0" applyFont="1"/>
    <xf numFmtId="168" fontId="4" fillId="0" borderId="0" xfId="0" applyNumberFormat="1" applyFont="1"/>
    <xf numFmtId="168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4" borderId="0" xfId="0" applyFill="1" applyAlignment="1">
      <alignment horizontal="center" vertical="center"/>
    </xf>
    <xf numFmtId="165" fontId="0" fillId="4" borderId="0" xfId="0" applyNumberFormat="1" applyFill="1"/>
    <xf numFmtId="166" fontId="0" fillId="4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1" applyNumberFormat="1" applyFont="1" applyAlignment="1">
      <alignment horizontal="center"/>
    </xf>
    <xf numFmtId="0" fontId="0" fillId="4" borderId="0" xfId="0" applyFill="1" applyAlignment="1">
      <alignment horizontal="center"/>
    </xf>
  </cellXfs>
  <cellStyles count="2">
    <cellStyle name="Moneda" xfId="1" builtinId="4"/>
    <cellStyle name="Normal" xfId="0" builtinId="0"/>
  </cellStyles>
  <dxfs count="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2B87F-4F0B-470F-8D60-C175037974CA}">
  <dimension ref="A1:EX54"/>
  <sheetViews>
    <sheetView tabSelected="1" topLeftCell="BT18" zoomScale="55" zoomScaleNormal="55" workbookViewId="0">
      <selection activeCell="AD9" sqref="AD9"/>
    </sheetView>
  </sheetViews>
  <sheetFormatPr defaultColWidth="11.42578125" defaultRowHeight="14.45"/>
  <cols>
    <col min="1" max="1" width="25.28515625" customWidth="1"/>
    <col min="2" max="2" width="11.5703125" customWidth="1"/>
    <col min="3" max="3" width="64.28515625" style="4" customWidth="1"/>
    <col min="4" max="4" width="11.5703125" style="8"/>
    <col min="5" max="5" width="11.5703125" style="3"/>
    <col min="6" max="6" width="12.28515625" customWidth="1"/>
    <col min="7" max="7" width="11.5703125" style="4" customWidth="1"/>
    <col min="8" max="152" width="3.140625" customWidth="1"/>
  </cols>
  <sheetData>
    <row r="1" spans="1:154">
      <c r="A1" t="b">
        <f>AND(I$6&gt;=$F8,I$6&lt;=$G8)</f>
        <v>1</v>
      </c>
    </row>
    <row r="2" spans="1:154">
      <c r="A2" t="b">
        <f>AND(P$6&gt;=$F14,P$6&lt;=$G14)</f>
        <v>1</v>
      </c>
    </row>
    <row r="3" spans="1:154" ht="15"/>
    <row r="4" spans="1:154" ht="15">
      <c r="E4" s="3">
        <f>D5</f>
        <v>45756</v>
      </c>
      <c r="G4" s="12"/>
      <c r="H4" s="12"/>
      <c r="I4" s="25" t="s">
        <v>0</v>
      </c>
      <c r="J4" s="25"/>
      <c r="K4" s="25"/>
      <c r="L4" s="25"/>
      <c r="M4" s="25"/>
      <c r="N4" s="25" t="s">
        <v>1</v>
      </c>
      <c r="O4" s="25"/>
      <c r="P4" s="25"/>
      <c r="Q4" s="25"/>
      <c r="R4" s="25"/>
      <c r="U4" s="25" t="s">
        <v>2</v>
      </c>
      <c r="V4" s="25"/>
      <c r="W4" s="25"/>
      <c r="X4" s="25"/>
      <c r="Y4" s="25"/>
      <c r="AB4" s="25" t="s">
        <v>3</v>
      </c>
      <c r="AC4" s="25"/>
      <c r="AD4" s="25"/>
      <c r="AE4" s="25"/>
      <c r="AF4" s="25"/>
      <c r="AI4" s="25" t="s">
        <v>4</v>
      </c>
      <c r="AJ4" s="25"/>
      <c r="AK4" s="25"/>
      <c r="AL4" s="25"/>
      <c r="AM4" s="25"/>
      <c r="AP4" s="25" t="s">
        <v>5</v>
      </c>
      <c r="AQ4" s="25"/>
      <c r="AR4" s="25"/>
      <c r="AS4" s="25"/>
      <c r="AT4" s="25"/>
      <c r="AW4" s="25" t="s">
        <v>6</v>
      </c>
      <c r="AX4" s="25"/>
      <c r="AY4" s="25"/>
      <c r="AZ4" s="25"/>
      <c r="BA4" s="25"/>
      <c r="BD4" s="25" t="s">
        <v>7</v>
      </c>
      <c r="BE4" s="25"/>
      <c r="BF4" s="25"/>
      <c r="BG4" s="25"/>
      <c r="BH4" s="25"/>
      <c r="BK4" s="25" t="s">
        <v>8</v>
      </c>
      <c r="BL4" s="25"/>
      <c r="BM4" s="25"/>
      <c r="BN4" s="25"/>
      <c r="BO4" s="25"/>
      <c r="BR4" s="25" t="s">
        <v>9</v>
      </c>
      <c r="BS4" s="25"/>
      <c r="BT4" s="25"/>
      <c r="BU4" s="25"/>
      <c r="BV4" s="25"/>
      <c r="BY4" s="25" t="s">
        <v>10</v>
      </c>
      <c r="BZ4" s="25"/>
      <c r="CA4" s="25"/>
      <c r="CB4" s="25"/>
      <c r="CC4" s="25"/>
      <c r="CF4" s="25" t="s">
        <v>11</v>
      </c>
      <c r="CG4" s="25"/>
      <c r="CH4" s="25"/>
      <c r="CI4" s="25"/>
      <c r="CJ4" s="25"/>
      <c r="CM4" s="25" t="s">
        <v>12</v>
      </c>
      <c r="CN4" s="25"/>
      <c r="CO4" s="25"/>
      <c r="CP4" s="25"/>
      <c r="CQ4" s="25"/>
      <c r="CT4" s="25" t="s">
        <v>13</v>
      </c>
      <c r="CU4" s="25"/>
      <c r="CV4" s="25"/>
      <c r="CW4" s="25"/>
      <c r="CX4" s="25"/>
      <c r="DA4" s="25" t="s">
        <v>14</v>
      </c>
      <c r="DB4" s="25"/>
      <c r="DC4" s="25"/>
      <c r="DD4" s="25"/>
      <c r="DE4" s="25"/>
      <c r="DH4" s="25" t="s">
        <v>15</v>
      </c>
      <c r="DI4" s="25"/>
      <c r="DJ4" s="25"/>
      <c r="DK4" s="25"/>
      <c r="DL4" s="25"/>
      <c r="DM4" s="25"/>
      <c r="DN4" s="25"/>
      <c r="DO4" s="25" t="s">
        <v>16</v>
      </c>
      <c r="DP4" s="25"/>
      <c r="DQ4" s="25"/>
      <c r="DR4" s="25"/>
      <c r="DS4" s="25"/>
      <c r="DT4" s="25"/>
      <c r="DU4" s="25"/>
      <c r="DV4" s="25" t="s">
        <v>17</v>
      </c>
      <c r="DW4" s="25"/>
      <c r="DX4" s="25"/>
      <c r="DY4" s="25"/>
      <c r="DZ4" s="25"/>
      <c r="EA4" s="25"/>
      <c r="EB4" s="25"/>
      <c r="EC4" s="25" t="s">
        <v>18</v>
      </c>
      <c r="ED4" s="25"/>
      <c r="EE4" s="25"/>
      <c r="EF4" s="25"/>
      <c r="EG4" s="25"/>
      <c r="EH4" s="25"/>
      <c r="EI4" s="25"/>
      <c r="EJ4" s="25" t="s">
        <v>19</v>
      </c>
      <c r="EK4" s="25"/>
      <c r="EL4" s="25"/>
      <c r="EM4" s="25"/>
      <c r="EN4" s="25"/>
      <c r="EO4" s="25"/>
      <c r="EP4" s="25"/>
      <c r="EQ4" s="25" t="s">
        <v>20</v>
      </c>
      <c r="ER4" s="25"/>
      <c r="ES4" s="25"/>
      <c r="ET4" s="25"/>
      <c r="EU4" s="25"/>
      <c r="EV4" s="25"/>
      <c r="EW4" s="25"/>
      <c r="EX4" s="12"/>
    </row>
    <row r="5" spans="1:154" s="24" customFormat="1" ht="15">
      <c r="A5"/>
      <c r="B5"/>
      <c r="C5" s="2" t="s">
        <v>21</v>
      </c>
      <c r="D5" s="6">
        <v>45756</v>
      </c>
      <c r="E5" s="6"/>
      <c r="F5"/>
      <c r="G5" s="4"/>
      <c r="H5" s="4"/>
      <c r="I5" s="23" t="str">
        <f>UPPER(LEFT(TEXT(I6,"ddd"),1))</f>
        <v>M</v>
      </c>
      <c r="J5" s="23" t="str">
        <f>UPPER(LEFT(TEXT(J6,"ddd"),1))</f>
        <v>J</v>
      </c>
      <c r="K5" s="23" t="str">
        <f t="shared" ref="K5:AA5" si="0">UPPER(LEFT(TEXT(K6,"ddd"),1))</f>
        <v>V</v>
      </c>
      <c r="L5" s="23" t="str">
        <f t="shared" si="0"/>
        <v>S</v>
      </c>
      <c r="M5" s="23" t="str">
        <f t="shared" si="0"/>
        <v>D</v>
      </c>
      <c r="N5" s="23" t="str">
        <f t="shared" si="0"/>
        <v>L</v>
      </c>
      <c r="O5" s="23" t="str">
        <f t="shared" si="0"/>
        <v>M</v>
      </c>
      <c r="P5" s="23" t="str">
        <f t="shared" si="0"/>
        <v>M</v>
      </c>
      <c r="Q5" s="23" t="str">
        <f t="shared" si="0"/>
        <v>J</v>
      </c>
      <c r="R5" s="23" t="str">
        <f t="shared" si="0"/>
        <v>V</v>
      </c>
      <c r="S5" s="23" t="str">
        <f t="shared" si="0"/>
        <v>S</v>
      </c>
      <c r="T5" s="23" t="str">
        <f t="shared" si="0"/>
        <v>D</v>
      </c>
      <c r="U5" s="23" t="str">
        <f t="shared" si="0"/>
        <v>L</v>
      </c>
      <c r="V5" s="23" t="str">
        <f t="shared" si="0"/>
        <v>M</v>
      </c>
      <c r="W5" s="23" t="str">
        <f t="shared" si="0"/>
        <v>M</v>
      </c>
      <c r="X5" s="23" t="str">
        <f t="shared" si="0"/>
        <v>J</v>
      </c>
      <c r="Y5" s="23" t="str">
        <f t="shared" si="0"/>
        <v>V</v>
      </c>
      <c r="Z5" s="23" t="str">
        <f t="shared" si="0"/>
        <v>S</v>
      </c>
      <c r="AA5" s="23" t="str">
        <f t="shared" si="0"/>
        <v>D</v>
      </c>
      <c r="AB5" s="23" t="str">
        <f t="shared" ref="AB5" si="1">UPPER(LEFT(TEXT(AB6,"ddd"),1))</f>
        <v>L</v>
      </c>
      <c r="AC5" s="23" t="str">
        <f t="shared" ref="AC5" si="2">UPPER(LEFT(TEXT(AC6,"ddd"),1))</f>
        <v>M</v>
      </c>
      <c r="AD5" s="23" t="str">
        <f t="shared" ref="AD5" si="3">UPPER(LEFT(TEXT(AD6,"ddd"),1))</f>
        <v>M</v>
      </c>
      <c r="AE5" s="23" t="str">
        <f t="shared" ref="AE5" si="4">UPPER(LEFT(TEXT(AE6,"ddd"),1))</f>
        <v>J</v>
      </c>
      <c r="AF5" s="23" t="str">
        <f t="shared" ref="AF5" si="5">UPPER(LEFT(TEXT(AF6,"ddd"),1))</f>
        <v>V</v>
      </c>
      <c r="AG5" s="23" t="str">
        <f t="shared" ref="AG5" si="6">UPPER(LEFT(TEXT(AG6,"ddd"),1))</f>
        <v>S</v>
      </c>
      <c r="AH5" s="23" t="str">
        <f t="shared" ref="AH5" si="7">UPPER(LEFT(TEXT(AH6,"ddd"),1))</f>
        <v>D</v>
      </c>
      <c r="AI5" s="23" t="str">
        <f t="shared" ref="AI5" si="8">UPPER(LEFT(TEXT(AI6,"ddd"),1))</f>
        <v>L</v>
      </c>
      <c r="AJ5" s="23" t="str">
        <f t="shared" ref="AJ5" si="9">UPPER(LEFT(TEXT(AJ6,"ddd"),1))</f>
        <v>M</v>
      </c>
      <c r="AK5" s="23" t="str">
        <f t="shared" ref="AK5" si="10">UPPER(LEFT(TEXT(AK6,"ddd"),1))</f>
        <v>M</v>
      </c>
      <c r="AL5" s="23" t="str">
        <f t="shared" ref="AL5" si="11">UPPER(LEFT(TEXT(AL6,"ddd"),1))</f>
        <v>J</v>
      </c>
      <c r="AM5" s="23" t="str">
        <f t="shared" ref="AM5" si="12">UPPER(LEFT(TEXT(AM6,"ddd"),1))</f>
        <v>V</v>
      </c>
      <c r="AN5" s="23" t="str">
        <f t="shared" ref="AN5" si="13">UPPER(LEFT(TEXT(AN6,"ddd"),1))</f>
        <v>S</v>
      </c>
      <c r="AO5" s="23" t="str">
        <f t="shared" ref="AO5" si="14">UPPER(LEFT(TEXT(AO6,"ddd"),1))</f>
        <v>D</v>
      </c>
      <c r="AP5" s="23" t="str">
        <f t="shared" ref="AP5" si="15">UPPER(LEFT(TEXT(AP6,"ddd"),1))</f>
        <v>L</v>
      </c>
      <c r="AQ5" s="23" t="str">
        <f t="shared" ref="AQ5" si="16">UPPER(LEFT(TEXT(AQ6,"ddd"),1))</f>
        <v>M</v>
      </c>
      <c r="AR5" s="23" t="str">
        <f t="shared" ref="AR5" si="17">UPPER(LEFT(TEXT(AR6,"ddd"),1))</f>
        <v>M</v>
      </c>
      <c r="AS5" s="23" t="str">
        <f t="shared" ref="AS5" si="18">UPPER(LEFT(TEXT(AS6,"ddd"),1))</f>
        <v>J</v>
      </c>
      <c r="AT5" s="23" t="str">
        <f t="shared" ref="AT5" si="19">UPPER(LEFT(TEXT(AT6,"ddd"),1))</f>
        <v>V</v>
      </c>
      <c r="AU5" s="23" t="str">
        <f t="shared" ref="AU5" si="20">UPPER(LEFT(TEXT(AU6,"ddd"),1))</f>
        <v>S</v>
      </c>
      <c r="AV5" s="23" t="str">
        <f t="shared" ref="AV5" si="21">UPPER(LEFT(TEXT(AV6,"ddd"),1))</f>
        <v>D</v>
      </c>
      <c r="AW5" s="23" t="str">
        <f t="shared" ref="AW5" si="22">UPPER(LEFT(TEXT(AW6,"ddd"),1))</f>
        <v>L</v>
      </c>
      <c r="AX5" s="23" t="str">
        <f t="shared" ref="AX5" si="23">UPPER(LEFT(TEXT(AX6,"ddd"),1))</f>
        <v>M</v>
      </c>
      <c r="AY5" s="23" t="str">
        <f t="shared" ref="AY5" si="24">UPPER(LEFT(TEXT(AY6,"ddd"),1))</f>
        <v>M</v>
      </c>
      <c r="AZ5" s="23" t="str">
        <f t="shared" ref="AZ5" si="25">UPPER(LEFT(TEXT(AZ6,"ddd"),1))</f>
        <v>J</v>
      </c>
      <c r="BA5" s="23" t="str">
        <f t="shared" ref="BA5" si="26">UPPER(LEFT(TEXT(BA6,"ddd"),1))</f>
        <v>V</v>
      </c>
      <c r="BB5" s="23" t="str">
        <f t="shared" ref="BB5" si="27">UPPER(LEFT(TEXT(BB6,"ddd"),1))</f>
        <v>S</v>
      </c>
      <c r="BC5" s="23" t="str">
        <f t="shared" ref="BC5" si="28">UPPER(LEFT(TEXT(BC6,"ddd"),1))</f>
        <v>D</v>
      </c>
      <c r="BD5" s="23" t="str">
        <f t="shared" ref="BD5" si="29">UPPER(LEFT(TEXT(BD6,"ddd"),1))</f>
        <v>L</v>
      </c>
      <c r="BE5" s="23" t="str">
        <f t="shared" ref="BE5" si="30">UPPER(LEFT(TEXT(BE6,"ddd"),1))</f>
        <v>M</v>
      </c>
      <c r="BF5" s="23" t="str">
        <f t="shared" ref="BF5" si="31">UPPER(LEFT(TEXT(BF6,"ddd"),1))</f>
        <v>M</v>
      </c>
      <c r="BG5" s="23" t="str">
        <f t="shared" ref="BG5" si="32">UPPER(LEFT(TEXT(BG6,"ddd"),1))</f>
        <v>J</v>
      </c>
      <c r="BH5" s="23" t="str">
        <f t="shared" ref="BH5" si="33">UPPER(LEFT(TEXT(BH6,"ddd"),1))</f>
        <v>V</v>
      </c>
      <c r="BI5" s="23" t="str">
        <f t="shared" ref="BI5" si="34">UPPER(LEFT(TEXT(BI6,"ddd"),1))</f>
        <v>S</v>
      </c>
      <c r="BJ5" s="23" t="str">
        <f t="shared" ref="BJ5" si="35">UPPER(LEFT(TEXT(BJ6,"ddd"),1))</f>
        <v>D</v>
      </c>
      <c r="BK5" s="23" t="str">
        <f t="shared" ref="BK5" si="36">UPPER(LEFT(TEXT(BK6,"ddd"),1))</f>
        <v>L</v>
      </c>
      <c r="BL5" s="23" t="str">
        <f t="shared" ref="BL5" si="37">UPPER(LEFT(TEXT(BL6,"ddd"),1))</f>
        <v>M</v>
      </c>
      <c r="BM5" s="23" t="str">
        <f t="shared" ref="BM5" si="38">UPPER(LEFT(TEXT(BM6,"ddd"),1))</f>
        <v>M</v>
      </c>
      <c r="BN5" s="23" t="str">
        <f t="shared" ref="BN5" si="39">UPPER(LEFT(TEXT(BN6,"ddd"),1))</f>
        <v>J</v>
      </c>
      <c r="BO5" s="23" t="str">
        <f t="shared" ref="BO5" si="40">UPPER(LEFT(TEXT(BO6,"ddd"),1))</f>
        <v>V</v>
      </c>
      <c r="BP5" s="23" t="str">
        <f t="shared" ref="BP5" si="41">UPPER(LEFT(TEXT(BP6,"ddd"),1))</f>
        <v>S</v>
      </c>
      <c r="BQ5" s="23" t="str">
        <f t="shared" ref="BQ5" si="42">UPPER(LEFT(TEXT(BQ6,"ddd"),1))</f>
        <v>D</v>
      </c>
      <c r="BR5" s="23" t="str">
        <f t="shared" ref="BR5" si="43">UPPER(LEFT(TEXT(BR6,"ddd"),1))</f>
        <v>L</v>
      </c>
      <c r="BS5" s="23" t="str">
        <f t="shared" ref="BS5" si="44">UPPER(LEFT(TEXT(BS6,"ddd"),1))</f>
        <v>M</v>
      </c>
      <c r="BT5" s="23" t="str">
        <f t="shared" ref="BT5" si="45">UPPER(LEFT(TEXT(BT6,"ddd"),1))</f>
        <v>M</v>
      </c>
      <c r="BU5" s="23" t="str">
        <f t="shared" ref="BU5" si="46">UPPER(LEFT(TEXT(BU6,"ddd"),1))</f>
        <v>J</v>
      </c>
      <c r="BV5" s="23" t="str">
        <f t="shared" ref="BV5" si="47">UPPER(LEFT(TEXT(BV6,"ddd"),1))</f>
        <v>V</v>
      </c>
      <c r="BW5" s="23" t="str">
        <f t="shared" ref="BW5" si="48">UPPER(LEFT(TEXT(BW6,"ddd"),1))</f>
        <v>S</v>
      </c>
      <c r="BX5" s="23" t="str">
        <f t="shared" ref="BX5" si="49">UPPER(LEFT(TEXT(BX6,"ddd"),1))</f>
        <v>D</v>
      </c>
      <c r="BY5" s="23" t="str">
        <f t="shared" ref="BY5" si="50">UPPER(LEFT(TEXT(BY6,"ddd"),1))</f>
        <v>L</v>
      </c>
      <c r="BZ5" s="23" t="str">
        <f t="shared" ref="BZ5" si="51">UPPER(LEFT(TEXT(BZ6,"ddd"),1))</f>
        <v>M</v>
      </c>
      <c r="CA5" s="23" t="str">
        <f t="shared" ref="CA5" si="52">UPPER(LEFT(TEXT(CA6,"ddd"),1))</f>
        <v>M</v>
      </c>
      <c r="CB5" s="23" t="str">
        <f t="shared" ref="CB5" si="53">UPPER(LEFT(TEXT(CB6,"ddd"),1))</f>
        <v>J</v>
      </c>
      <c r="CC5" s="23" t="str">
        <f t="shared" ref="CC5" si="54">UPPER(LEFT(TEXT(CC6,"ddd"),1))</f>
        <v>V</v>
      </c>
      <c r="CD5" s="23" t="str">
        <f t="shared" ref="CD5" si="55">UPPER(LEFT(TEXT(CD6,"ddd"),1))</f>
        <v>S</v>
      </c>
      <c r="CE5" s="23" t="str">
        <f t="shared" ref="CE5" si="56">UPPER(LEFT(TEXT(CE6,"ddd"),1))</f>
        <v>D</v>
      </c>
      <c r="CF5" s="23" t="str">
        <f t="shared" ref="CF5" si="57">UPPER(LEFT(TEXT(CF6,"ddd"),1))</f>
        <v>L</v>
      </c>
      <c r="CG5" s="23" t="str">
        <f t="shared" ref="CG5" si="58">UPPER(LEFT(TEXT(CG6,"ddd"),1))</f>
        <v>M</v>
      </c>
      <c r="CH5" s="23" t="str">
        <f t="shared" ref="CH5" si="59">UPPER(LEFT(TEXT(CH6,"ddd"),1))</f>
        <v>M</v>
      </c>
      <c r="CI5" s="23" t="str">
        <f t="shared" ref="CI5" si="60">UPPER(LEFT(TEXT(CI6,"ddd"),1))</f>
        <v>J</v>
      </c>
      <c r="CJ5" s="23" t="str">
        <f t="shared" ref="CJ5" si="61">UPPER(LEFT(TEXT(CJ6,"ddd"),1))</f>
        <v>V</v>
      </c>
      <c r="CK5" s="23" t="str">
        <f t="shared" ref="CK5" si="62">UPPER(LEFT(TEXT(CK6,"ddd"),1))</f>
        <v>S</v>
      </c>
      <c r="CL5" s="23" t="str">
        <f t="shared" ref="CL5" si="63">UPPER(LEFT(TEXT(CL6,"ddd"),1))</f>
        <v>D</v>
      </c>
      <c r="CM5" s="23" t="str">
        <f t="shared" ref="CM5" si="64">UPPER(LEFT(TEXT(CM6,"ddd"),1))</f>
        <v>L</v>
      </c>
      <c r="CN5" s="23" t="str">
        <f t="shared" ref="CN5" si="65">UPPER(LEFT(TEXT(CN6,"ddd"),1))</f>
        <v>M</v>
      </c>
      <c r="CO5" s="23" t="str">
        <f t="shared" ref="CO5" si="66">UPPER(LEFT(TEXT(CO6,"ddd"),1))</f>
        <v>M</v>
      </c>
      <c r="CP5" s="23" t="str">
        <f t="shared" ref="CP5" si="67">UPPER(LEFT(TEXT(CP6,"ddd"),1))</f>
        <v>J</v>
      </c>
      <c r="CQ5" s="23" t="str">
        <f t="shared" ref="CQ5" si="68">UPPER(LEFT(TEXT(CQ6,"ddd"),1))</f>
        <v>V</v>
      </c>
      <c r="CR5" s="23" t="str">
        <f t="shared" ref="CR5" si="69">UPPER(LEFT(TEXT(CR6,"ddd"),1))</f>
        <v>S</v>
      </c>
      <c r="CS5" s="23" t="str">
        <f t="shared" ref="CS5" si="70">UPPER(LEFT(TEXT(CS6,"ddd"),1))</f>
        <v>D</v>
      </c>
      <c r="CT5" s="23" t="str">
        <f t="shared" ref="CT5" si="71">UPPER(LEFT(TEXT(CT6,"ddd"),1))</f>
        <v>L</v>
      </c>
      <c r="CU5" s="23" t="str">
        <f t="shared" ref="CU5" si="72">UPPER(LEFT(TEXT(CU6,"ddd"),1))</f>
        <v>M</v>
      </c>
      <c r="CV5" s="23" t="str">
        <f t="shared" ref="CV5" si="73">UPPER(LEFT(TEXT(CV6,"ddd"),1))</f>
        <v>M</v>
      </c>
      <c r="CW5" s="23" t="str">
        <f t="shared" ref="CW5" si="74">UPPER(LEFT(TEXT(CW6,"ddd"),1))</f>
        <v>J</v>
      </c>
      <c r="CX5" s="23" t="str">
        <f t="shared" ref="CX5" si="75">UPPER(LEFT(TEXT(CX6,"ddd"),1))</f>
        <v>V</v>
      </c>
      <c r="CY5" s="23" t="str">
        <f t="shared" ref="CY5" si="76">UPPER(LEFT(TEXT(CY6,"ddd"),1))</f>
        <v>S</v>
      </c>
      <c r="CZ5" s="23" t="str">
        <f t="shared" ref="CZ5" si="77">UPPER(LEFT(TEXT(CZ6,"ddd"),1))</f>
        <v>D</v>
      </c>
      <c r="DA5" s="23" t="str">
        <f t="shared" ref="DA5" si="78">UPPER(LEFT(TEXT(DA6,"ddd"),1))</f>
        <v>L</v>
      </c>
      <c r="DB5" s="23" t="str">
        <f t="shared" ref="DB5" si="79">UPPER(LEFT(TEXT(DB6,"ddd"),1))</f>
        <v>M</v>
      </c>
      <c r="DC5" s="23" t="str">
        <f t="shared" ref="DC5" si="80">UPPER(LEFT(TEXT(DC6,"ddd"),1))</f>
        <v>M</v>
      </c>
      <c r="DD5" s="23" t="str">
        <f t="shared" ref="DD5" si="81">UPPER(LEFT(TEXT(DD6,"ddd"),1))</f>
        <v>J</v>
      </c>
      <c r="DE5" s="23" t="str">
        <f t="shared" ref="DE5" si="82">UPPER(LEFT(TEXT(DE6,"ddd"),1))</f>
        <v>V</v>
      </c>
      <c r="DF5" s="23" t="str">
        <f t="shared" ref="DF5" si="83">UPPER(LEFT(TEXT(DF6,"ddd"),1))</f>
        <v>S</v>
      </c>
      <c r="DG5" s="23" t="str">
        <f t="shared" ref="DG5" si="84">UPPER(LEFT(TEXT(DG6,"ddd"),1))</f>
        <v>D</v>
      </c>
      <c r="DH5" s="23" t="str">
        <f t="shared" ref="DH5" si="85">UPPER(LEFT(TEXT(DH6,"ddd"),1))</f>
        <v>L</v>
      </c>
      <c r="DI5" s="23" t="str">
        <f t="shared" ref="DI5" si="86">UPPER(LEFT(TEXT(DI6,"ddd"),1))</f>
        <v>M</v>
      </c>
      <c r="DJ5" s="23" t="str">
        <f t="shared" ref="DJ5" si="87">UPPER(LEFT(TEXT(DJ6,"ddd"),1))</f>
        <v>M</v>
      </c>
      <c r="DK5" s="23" t="str">
        <f t="shared" ref="DK5" si="88">UPPER(LEFT(TEXT(DK6,"ddd"),1))</f>
        <v>J</v>
      </c>
      <c r="DL5" s="23" t="str">
        <f t="shared" ref="DL5" si="89">UPPER(LEFT(TEXT(DL6,"ddd"),1))</f>
        <v>V</v>
      </c>
      <c r="DM5" s="23" t="str">
        <f t="shared" ref="DM5" si="90">UPPER(LEFT(TEXT(DM6,"ddd"),1))</f>
        <v>S</v>
      </c>
      <c r="DN5" s="23" t="str">
        <f t="shared" ref="DN5" si="91">UPPER(LEFT(TEXT(DN6,"ddd"),1))</f>
        <v>D</v>
      </c>
      <c r="DO5" s="23" t="str">
        <f t="shared" ref="DO5" si="92">UPPER(LEFT(TEXT(DO6,"ddd"),1))</f>
        <v>L</v>
      </c>
      <c r="DP5" s="23" t="str">
        <f t="shared" ref="DP5" si="93">UPPER(LEFT(TEXT(DP6,"ddd"),1))</f>
        <v>M</v>
      </c>
      <c r="DQ5" s="23" t="str">
        <f t="shared" ref="DQ5" si="94">UPPER(LEFT(TEXT(DQ6,"ddd"),1))</f>
        <v>M</v>
      </c>
      <c r="DR5" s="23" t="str">
        <f t="shared" ref="DR5" si="95">UPPER(LEFT(TEXT(DR6,"ddd"),1))</f>
        <v>J</v>
      </c>
      <c r="DS5" s="23" t="str">
        <f t="shared" ref="DS5" si="96">UPPER(LEFT(TEXT(DS6,"ddd"),1))</f>
        <v>V</v>
      </c>
      <c r="DT5" s="23" t="str">
        <f t="shared" ref="DT5" si="97">UPPER(LEFT(TEXT(DT6,"ddd"),1))</f>
        <v>S</v>
      </c>
      <c r="DU5" s="23" t="str">
        <f t="shared" ref="DU5" si="98">UPPER(LEFT(TEXT(DU6,"ddd"),1))</f>
        <v>D</v>
      </c>
      <c r="DV5" s="23" t="str">
        <f t="shared" ref="DV5" si="99">UPPER(LEFT(TEXT(DV6,"ddd"),1))</f>
        <v>L</v>
      </c>
      <c r="DW5" s="23" t="str">
        <f t="shared" ref="DW5" si="100">UPPER(LEFT(TEXT(DW6,"ddd"),1))</f>
        <v>M</v>
      </c>
      <c r="DX5" s="23" t="str">
        <f t="shared" ref="DX5" si="101">UPPER(LEFT(TEXT(DX6,"ddd"),1))</f>
        <v>M</v>
      </c>
      <c r="DY5" s="23" t="str">
        <f t="shared" ref="DY5" si="102">UPPER(LEFT(TEXT(DY6,"ddd"),1))</f>
        <v>J</v>
      </c>
      <c r="DZ5" s="23" t="str">
        <f t="shared" ref="DZ5" si="103">UPPER(LEFT(TEXT(DZ6,"ddd"),1))</f>
        <v>V</v>
      </c>
      <c r="EA5" s="23" t="str">
        <f t="shared" ref="EA5" si="104">UPPER(LEFT(TEXT(EA6,"ddd"),1))</f>
        <v>S</v>
      </c>
      <c r="EB5" s="23" t="str">
        <f t="shared" ref="EB5" si="105">UPPER(LEFT(TEXT(EB6,"ddd"),1))</f>
        <v>D</v>
      </c>
      <c r="EC5" s="23" t="str">
        <f t="shared" ref="EC5" si="106">UPPER(LEFT(TEXT(EC6,"ddd"),1))</f>
        <v>L</v>
      </c>
      <c r="ED5" s="23" t="str">
        <f t="shared" ref="ED5" si="107">UPPER(LEFT(TEXT(ED6,"ddd"),1))</f>
        <v>M</v>
      </c>
      <c r="EE5" s="23" t="str">
        <f t="shared" ref="EE5" si="108">UPPER(LEFT(TEXT(EE6,"ddd"),1))</f>
        <v>M</v>
      </c>
      <c r="EF5" s="23" t="str">
        <f t="shared" ref="EF5" si="109">UPPER(LEFT(TEXT(EF6,"ddd"),1))</f>
        <v>J</v>
      </c>
      <c r="EG5" s="23" t="str">
        <f t="shared" ref="EG5" si="110">UPPER(LEFT(TEXT(EG6,"ddd"),1))</f>
        <v>V</v>
      </c>
      <c r="EH5" s="23" t="str">
        <f t="shared" ref="EH5" si="111">UPPER(LEFT(TEXT(EH6,"ddd"),1))</f>
        <v>S</v>
      </c>
      <c r="EI5" s="23" t="str">
        <f t="shared" ref="EI5" si="112">UPPER(LEFT(TEXT(EI6,"ddd"),1))</f>
        <v>D</v>
      </c>
      <c r="EJ5" s="23" t="str">
        <f t="shared" ref="EJ5" si="113">UPPER(LEFT(TEXT(EJ6,"ddd"),1))</f>
        <v>L</v>
      </c>
      <c r="EK5" s="23" t="str">
        <f t="shared" ref="EK5" si="114">UPPER(LEFT(TEXT(EK6,"ddd"),1))</f>
        <v>M</v>
      </c>
      <c r="EL5" s="23" t="str">
        <f t="shared" ref="EL5" si="115">UPPER(LEFT(TEXT(EL6,"ddd"),1))</f>
        <v>M</v>
      </c>
      <c r="EM5" s="23" t="str">
        <f t="shared" ref="EM5" si="116">UPPER(LEFT(TEXT(EM6,"ddd"),1))</f>
        <v>J</v>
      </c>
      <c r="EN5" s="23" t="str">
        <f t="shared" ref="EN5" si="117">UPPER(LEFT(TEXT(EN6,"ddd"),1))</f>
        <v>V</v>
      </c>
      <c r="EO5" s="23" t="str">
        <f t="shared" ref="EO5" si="118">UPPER(LEFT(TEXT(EO6,"ddd"),1))</f>
        <v>S</v>
      </c>
      <c r="EP5" s="23" t="str">
        <f t="shared" ref="EP5" si="119">UPPER(LEFT(TEXT(EP6,"ddd"),1))</f>
        <v>D</v>
      </c>
      <c r="EQ5" s="23" t="str">
        <f t="shared" ref="EQ5" si="120">UPPER(LEFT(TEXT(EQ6,"ddd"),1))</f>
        <v>L</v>
      </c>
      <c r="ER5" s="23" t="str">
        <f t="shared" ref="ER5" si="121">UPPER(LEFT(TEXT(ER6,"ddd"),1))</f>
        <v>M</v>
      </c>
      <c r="ES5" s="23" t="str">
        <f t="shared" ref="ES5" si="122">UPPER(LEFT(TEXT(ES6,"ddd"),1))</f>
        <v>M</v>
      </c>
      <c r="ET5" s="23" t="str">
        <f t="shared" ref="ET5" si="123">UPPER(LEFT(TEXT(ET6,"ddd"),1))</f>
        <v>J</v>
      </c>
      <c r="EU5" s="23" t="str">
        <f t="shared" ref="EU5" si="124">UPPER(LEFT(TEXT(EU6,"ddd"),1))</f>
        <v>V</v>
      </c>
      <c r="EV5" s="23" t="str">
        <f t="shared" ref="EV5" si="125">UPPER(LEFT(TEXT(EV6,"ddd"),1))</f>
        <v>S</v>
      </c>
    </row>
    <row r="6" spans="1:154" s="19" customFormat="1">
      <c r="A6" s="31" t="s">
        <v>22</v>
      </c>
      <c r="B6" s="31"/>
      <c r="C6" s="19" t="s">
        <v>23</v>
      </c>
      <c r="E6" s="20" t="s">
        <v>24</v>
      </c>
      <c r="F6" s="21" t="s">
        <v>25</v>
      </c>
      <c r="G6" s="21" t="s">
        <v>26</v>
      </c>
      <c r="I6" s="22">
        <f>D5</f>
        <v>45756</v>
      </c>
      <c r="J6" s="22">
        <v>45757</v>
      </c>
      <c r="K6" s="22">
        <v>45758</v>
      </c>
      <c r="L6" s="22">
        <v>45759</v>
      </c>
      <c r="M6" s="22">
        <v>45760</v>
      </c>
      <c r="N6" s="22">
        <v>45761</v>
      </c>
      <c r="O6" s="22">
        <v>45762</v>
      </c>
      <c r="P6" s="22">
        <v>45763</v>
      </c>
      <c r="Q6" s="22">
        <v>45764</v>
      </c>
      <c r="R6" s="22">
        <v>45765</v>
      </c>
      <c r="S6" s="22">
        <v>45766</v>
      </c>
      <c r="T6" s="22">
        <v>45767</v>
      </c>
      <c r="U6" s="22">
        <v>45768</v>
      </c>
      <c r="V6" s="22">
        <v>45769</v>
      </c>
      <c r="W6" s="22">
        <v>45770</v>
      </c>
      <c r="X6" s="22">
        <v>45771</v>
      </c>
      <c r="Y6" s="22">
        <v>45772</v>
      </c>
      <c r="Z6" s="22">
        <v>45773</v>
      </c>
      <c r="AA6" s="22">
        <v>45774</v>
      </c>
      <c r="AB6" s="22">
        <v>45775</v>
      </c>
      <c r="AC6" s="22">
        <v>45776</v>
      </c>
      <c r="AD6" s="22">
        <v>45777</v>
      </c>
      <c r="AE6" s="22">
        <v>45778</v>
      </c>
      <c r="AF6" s="22">
        <v>45779</v>
      </c>
      <c r="AG6" s="22">
        <v>45780</v>
      </c>
      <c r="AH6" s="22">
        <v>45781</v>
      </c>
      <c r="AI6" s="22">
        <v>45782</v>
      </c>
      <c r="AJ6" s="22">
        <v>45783</v>
      </c>
      <c r="AK6" s="22">
        <v>45784</v>
      </c>
      <c r="AL6" s="22">
        <v>45785</v>
      </c>
      <c r="AM6" s="22">
        <v>45786</v>
      </c>
      <c r="AN6" s="22">
        <v>45787</v>
      </c>
      <c r="AO6" s="22">
        <v>45788</v>
      </c>
      <c r="AP6" s="22">
        <v>45789</v>
      </c>
      <c r="AQ6" s="22">
        <v>45790</v>
      </c>
      <c r="AR6" s="22">
        <v>45791</v>
      </c>
      <c r="AS6" s="22">
        <v>45792</v>
      </c>
      <c r="AT6" s="22">
        <v>45793</v>
      </c>
      <c r="AU6" s="22">
        <v>45794</v>
      </c>
      <c r="AV6" s="22">
        <v>45795</v>
      </c>
      <c r="AW6" s="22">
        <v>45796</v>
      </c>
      <c r="AX6" s="22">
        <v>45797</v>
      </c>
      <c r="AY6" s="22">
        <v>45798</v>
      </c>
      <c r="AZ6" s="22">
        <v>45799</v>
      </c>
      <c r="BA6" s="22">
        <v>45800</v>
      </c>
      <c r="BB6" s="22">
        <v>45801</v>
      </c>
      <c r="BC6" s="22">
        <v>45802</v>
      </c>
      <c r="BD6" s="22">
        <v>45803</v>
      </c>
      <c r="BE6" s="22">
        <v>45804</v>
      </c>
      <c r="BF6" s="22">
        <v>45805</v>
      </c>
      <c r="BG6" s="22">
        <v>45806</v>
      </c>
      <c r="BH6" s="22">
        <v>45807</v>
      </c>
      <c r="BI6" s="22">
        <v>45808</v>
      </c>
      <c r="BJ6" s="22">
        <v>45809</v>
      </c>
      <c r="BK6" s="22">
        <v>45810</v>
      </c>
      <c r="BL6" s="22">
        <v>45811</v>
      </c>
      <c r="BM6" s="22">
        <v>45812</v>
      </c>
      <c r="BN6" s="22">
        <v>45813</v>
      </c>
      <c r="BO6" s="22">
        <v>45814</v>
      </c>
      <c r="BP6" s="22">
        <v>45815</v>
      </c>
      <c r="BQ6" s="22">
        <v>45816</v>
      </c>
      <c r="BR6" s="22">
        <v>45817</v>
      </c>
      <c r="BS6" s="22">
        <v>45818</v>
      </c>
      <c r="BT6" s="22">
        <v>45819</v>
      </c>
      <c r="BU6" s="22">
        <v>45820</v>
      </c>
      <c r="BV6" s="22">
        <v>45821</v>
      </c>
      <c r="BW6" s="22">
        <v>45822</v>
      </c>
      <c r="BX6" s="22">
        <v>45823</v>
      </c>
      <c r="BY6" s="22">
        <v>45824</v>
      </c>
      <c r="BZ6" s="22">
        <v>45825</v>
      </c>
      <c r="CA6" s="22">
        <v>45826</v>
      </c>
      <c r="CB6" s="22">
        <v>45827</v>
      </c>
      <c r="CC6" s="22">
        <v>45828</v>
      </c>
      <c r="CD6" s="22">
        <v>45829</v>
      </c>
      <c r="CE6" s="22">
        <v>45830</v>
      </c>
      <c r="CF6" s="22">
        <v>45831</v>
      </c>
      <c r="CG6" s="22">
        <v>45832</v>
      </c>
      <c r="CH6" s="22">
        <v>45833</v>
      </c>
      <c r="CI6" s="22">
        <v>45834</v>
      </c>
      <c r="CJ6" s="22">
        <v>45835</v>
      </c>
      <c r="CK6" s="22">
        <v>45836</v>
      </c>
      <c r="CL6" s="22">
        <v>45837</v>
      </c>
      <c r="CM6" s="22">
        <v>45838</v>
      </c>
      <c r="CN6" s="22">
        <v>45839</v>
      </c>
      <c r="CO6" s="22">
        <v>45840</v>
      </c>
      <c r="CP6" s="22">
        <v>45841</v>
      </c>
      <c r="CQ6" s="22">
        <v>45842</v>
      </c>
      <c r="CR6" s="22">
        <v>45843</v>
      </c>
      <c r="CS6" s="22">
        <v>45844</v>
      </c>
      <c r="CT6" s="22">
        <v>45845</v>
      </c>
      <c r="CU6" s="22">
        <v>45846</v>
      </c>
      <c r="CV6" s="22">
        <v>45847</v>
      </c>
      <c r="CW6" s="22">
        <v>45848</v>
      </c>
      <c r="CX6" s="22">
        <v>45849</v>
      </c>
      <c r="CY6" s="22">
        <v>45850</v>
      </c>
      <c r="CZ6" s="22">
        <v>45851</v>
      </c>
      <c r="DA6" s="22">
        <v>45852</v>
      </c>
      <c r="DB6" s="22">
        <v>45853</v>
      </c>
      <c r="DC6" s="22">
        <v>45854</v>
      </c>
      <c r="DD6" s="22">
        <v>45855</v>
      </c>
      <c r="DE6" s="22">
        <v>45856</v>
      </c>
      <c r="DF6" s="22">
        <v>45857</v>
      </c>
      <c r="DG6" s="22">
        <v>45858</v>
      </c>
      <c r="DH6" s="22">
        <v>45859</v>
      </c>
      <c r="DI6" s="22">
        <v>45860</v>
      </c>
      <c r="DJ6" s="22">
        <v>45861</v>
      </c>
      <c r="DK6" s="22">
        <v>45862</v>
      </c>
      <c r="DL6" s="22">
        <v>45863</v>
      </c>
      <c r="DM6" s="22">
        <v>45864</v>
      </c>
      <c r="DN6" s="22">
        <v>45865</v>
      </c>
      <c r="DO6" s="22">
        <v>45866</v>
      </c>
      <c r="DP6" s="22">
        <v>45867</v>
      </c>
      <c r="DQ6" s="22">
        <v>45868</v>
      </c>
      <c r="DR6" s="22">
        <v>45869</v>
      </c>
      <c r="DS6" s="22">
        <v>45870</v>
      </c>
      <c r="DT6" s="22">
        <v>45871</v>
      </c>
      <c r="DU6" s="22">
        <v>45872</v>
      </c>
      <c r="DV6" s="22">
        <v>45873</v>
      </c>
      <c r="DW6" s="22">
        <v>45874</v>
      </c>
      <c r="DX6" s="22">
        <v>45875</v>
      </c>
      <c r="DY6" s="22">
        <v>45876</v>
      </c>
      <c r="DZ6" s="22">
        <v>45877</v>
      </c>
      <c r="EA6" s="22">
        <v>45878</v>
      </c>
      <c r="EB6" s="22">
        <v>45879</v>
      </c>
      <c r="EC6" s="22">
        <v>45880</v>
      </c>
      <c r="ED6" s="22">
        <v>45881</v>
      </c>
      <c r="EE6" s="22">
        <v>45882</v>
      </c>
      <c r="EF6" s="22">
        <v>45883</v>
      </c>
      <c r="EG6" s="22">
        <v>45884</v>
      </c>
      <c r="EH6" s="22">
        <v>45885</v>
      </c>
      <c r="EI6" s="22">
        <v>45886</v>
      </c>
      <c r="EJ6" s="22">
        <v>45887</v>
      </c>
      <c r="EK6" s="22">
        <v>45888</v>
      </c>
      <c r="EL6" s="22">
        <v>45889</v>
      </c>
      <c r="EM6" s="22">
        <v>45890</v>
      </c>
      <c r="EN6" s="22">
        <v>45891</v>
      </c>
      <c r="EO6" s="22">
        <v>45892</v>
      </c>
      <c r="EP6" s="22">
        <v>45893</v>
      </c>
      <c r="EQ6" s="22">
        <v>45894</v>
      </c>
      <c r="ER6" s="22">
        <v>45895</v>
      </c>
      <c r="ES6" s="22">
        <v>45896</v>
      </c>
      <c r="ET6" s="22">
        <v>45897</v>
      </c>
      <c r="EU6" s="22">
        <v>45898</v>
      </c>
      <c r="EV6" s="22">
        <v>45899</v>
      </c>
    </row>
    <row r="7" spans="1:154">
      <c r="A7" s="27" t="s">
        <v>27</v>
      </c>
      <c r="B7" s="27"/>
      <c r="C7"/>
      <c r="D7"/>
      <c r="E7" s="4"/>
      <c r="F7" s="7">
        <v>45756</v>
      </c>
      <c r="G7" s="7">
        <f>G11</f>
        <v>45762</v>
      </c>
    </row>
    <row r="8" spans="1:154">
      <c r="A8" s="27" t="s">
        <v>28</v>
      </c>
      <c r="B8" s="27"/>
      <c r="C8" s="27" t="s">
        <v>29</v>
      </c>
      <c r="D8" s="27"/>
      <c r="E8" s="5">
        <v>1</v>
      </c>
      <c r="F8" s="7">
        <v>45756</v>
      </c>
      <c r="G8" s="7">
        <v>45757</v>
      </c>
      <c r="I8" s="4"/>
    </row>
    <row r="9" spans="1:154">
      <c r="A9" s="27" t="s">
        <v>30</v>
      </c>
      <c r="B9" s="27"/>
      <c r="C9" s="27" t="s">
        <v>29</v>
      </c>
      <c r="D9" s="27"/>
      <c r="E9" s="5">
        <v>1</v>
      </c>
      <c r="F9" s="7">
        <v>45757</v>
      </c>
      <c r="G9" s="7">
        <v>45761</v>
      </c>
      <c r="I9" s="13"/>
      <c r="J9" s="14"/>
      <c r="K9" s="14"/>
      <c r="L9" s="14"/>
      <c r="M9" s="14"/>
    </row>
    <row r="10" spans="1:154">
      <c r="A10" s="27" t="s">
        <v>31</v>
      </c>
      <c r="B10" s="27"/>
      <c r="C10" s="27" t="s">
        <v>32</v>
      </c>
      <c r="D10" s="27"/>
      <c r="E10" s="5">
        <v>0.6</v>
      </c>
      <c r="F10" s="7">
        <v>45761</v>
      </c>
      <c r="G10" s="7">
        <v>45761</v>
      </c>
      <c r="I10" s="4"/>
    </row>
    <row r="11" spans="1:154">
      <c r="A11" s="27" t="s">
        <v>33</v>
      </c>
      <c r="B11" s="27"/>
      <c r="C11" s="27" t="s">
        <v>34</v>
      </c>
      <c r="D11" s="27"/>
      <c r="E11" s="5">
        <v>0.75</v>
      </c>
      <c r="F11" s="7">
        <v>45761</v>
      </c>
      <c r="G11" s="7">
        <v>45762</v>
      </c>
      <c r="I11" s="4"/>
    </row>
    <row r="12" spans="1:154">
      <c r="A12" s="27"/>
      <c r="B12" s="27"/>
      <c r="G12" s="15"/>
      <c r="I12" s="4"/>
    </row>
    <row r="13" spans="1:154">
      <c r="A13" s="27" t="s">
        <v>35</v>
      </c>
      <c r="B13" s="27"/>
      <c r="C13"/>
      <c r="D13" s="10"/>
      <c r="E13" s="4"/>
      <c r="F13" s="3">
        <v>45763</v>
      </c>
      <c r="G13" s="3">
        <v>45772</v>
      </c>
    </row>
    <row r="14" spans="1:154">
      <c r="A14" s="27" t="s">
        <v>36</v>
      </c>
      <c r="B14" s="27"/>
      <c r="C14" s="27" t="s">
        <v>32</v>
      </c>
      <c r="D14" s="27"/>
      <c r="E14" s="5">
        <v>0.25</v>
      </c>
      <c r="F14" s="3">
        <v>45763</v>
      </c>
      <c r="G14" s="3">
        <v>45763</v>
      </c>
    </row>
    <row r="15" spans="1:154">
      <c r="A15" s="27" t="s">
        <v>37</v>
      </c>
      <c r="B15" s="27"/>
      <c r="C15" s="27" t="s">
        <v>34</v>
      </c>
      <c r="D15" s="27"/>
      <c r="E15" s="5">
        <v>0.6</v>
      </c>
      <c r="F15" s="3">
        <v>45763</v>
      </c>
      <c r="G15" s="3">
        <v>45768</v>
      </c>
    </row>
    <row r="16" spans="1:154">
      <c r="A16" s="27" t="s">
        <v>38</v>
      </c>
      <c r="B16" s="27"/>
      <c r="C16" s="27" t="s">
        <v>39</v>
      </c>
      <c r="D16" s="27"/>
      <c r="E16" s="5">
        <v>0.8</v>
      </c>
      <c r="F16" s="3">
        <v>45770</v>
      </c>
      <c r="G16" s="3">
        <v>45772</v>
      </c>
      <c r="P16" s="4"/>
    </row>
    <row r="17" spans="1:50">
      <c r="A17" s="2"/>
      <c r="B17" s="2"/>
      <c r="G17" s="15"/>
      <c r="I17" s="4"/>
    </row>
    <row r="18" spans="1:50">
      <c r="A18" s="27" t="s">
        <v>40</v>
      </c>
      <c r="B18" s="27"/>
      <c r="C18"/>
      <c r="D18" s="10"/>
      <c r="E18" s="4"/>
      <c r="F18" s="3">
        <v>45772</v>
      </c>
      <c r="G18" s="3">
        <v>45797</v>
      </c>
      <c r="I18" s="4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</row>
    <row r="19" spans="1:50">
      <c r="A19" s="27" t="s">
        <v>36</v>
      </c>
      <c r="B19" s="27"/>
      <c r="C19" s="27" t="s">
        <v>32</v>
      </c>
      <c r="D19" s="27"/>
      <c r="E19" s="5">
        <v>0.3</v>
      </c>
      <c r="F19" s="3">
        <v>45772</v>
      </c>
      <c r="G19" s="3">
        <v>45772</v>
      </c>
      <c r="I19" s="4"/>
    </row>
    <row r="20" spans="1:50">
      <c r="A20" s="27" t="s">
        <v>41</v>
      </c>
      <c r="B20" s="27"/>
      <c r="C20" s="27" t="s">
        <v>42</v>
      </c>
      <c r="D20" s="27"/>
      <c r="E20" s="5">
        <v>0.85</v>
      </c>
      <c r="F20" s="3">
        <v>45772</v>
      </c>
      <c r="G20" s="16">
        <v>45782</v>
      </c>
      <c r="I20" s="4"/>
    </row>
    <row r="21" spans="1:50">
      <c r="A21" s="27" t="s">
        <v>43</v>
      </c>
      <c r="B21" s="27"/>
      <c r="C21" s="28" t="s">
        <v>44</v>
      </c>
      <c r="D21" s="28"/>
      <c r="E21" s="5">
        <v>0.7</v>
      </c>
      <c r="F21" s="3">
        <v>45777</v>
      </c>
      <c r="G21" s="3">
        <v>45797</v>
      </c>
      <c r="I21" s="4"/>
    </row>
    <row r="22" spans="1:50">
      <c r="A22" s="28" t="s">
        <v>45</v>
      </c>
      <c r="B22" s="28"/>
      <c r="C22" s="27" t="s">
        <v>42</v>
      </c>
      <c r="D22" s="27"/>
      <c r="E22" s="5">
        <v>0.85</v>
      </c>
      <c r="F22" s="16">
        <v>45782</v>
      </c>
      <c r="G22" s="3">
        <v>45797</v>
      </c>
      <c r="I22" s="4"/>
    </row>
    <row r="23" spans="1:50">
      <c r="A23" s="28" t="s">
        <v>46</v>
      </c>
      <c r="B23" s="28"/>
      <c r="C23" s="27" t="s">
        <v>42</v>
      </c>
      <c r="D23" s="27"/>
      <c r="E23" s="5">
        <v>0.85</v>
      </c>
      <c r="F23" s="1">
        <v>45782</v>
      </c>
      <c r="G23" s="3">
        <v>45797</v>
      </c>
      <c r="I23" s="4"/>
    </row>
    <row r="24" spans="1:50">
      <c r="A24" s="2"/>
      <c r="B24" s="2"/>
      <c r="C24"/>
      <c r="D24" s="11"/>
      <c r="G24" s="3"/>
      <c r="H24" s="4"/>
    </row>
    <row r="25" spans="1:50">
      <c r="A25" s="27" t="s">
        <v>47</v>
      </c>
      <c r="B25" s="27"/>
      <c r="D25" s="9"/>
      <c r="F25" s="1">
        <v>45798</v>
      </c>
      <c r="G25" s="3">
        <v>45821</v>
      </c>
    </row>
    <row r="26" spans="1:50">
      <c r="A26" s="27" t="s">
        <v>36</v>
      </c>
      <c r="B26" s="27"/>
      <c r="C26" s="27" t="s">
        <v>32</v>
      </c>
      <c r="D26" s="27"/>
      <c r="E26" s="5">
        <v>0.3</v>
      </c>
      <c r="F26" s="1">
        <v>45798</v>
      </c>
      <c r="G26" s="3">
        <v>45804</v>
      </c>
    </row>
    <row r="27" spans="1:50">
      <c r="A27" s="28" t="s">
        <v>48</v>
      </c>
      <c r="B27" s="28"/>
      <c r="C27" s="27" t="s">
        <v>49</v>
      </c>
      <c r="D27" s="27"/>
      <c r="E27" s="5">
        <v>0.85</v>
      </c>
      <c r="F27" s="1">
        <v>45798</v>
      </c>
      <c r="G27" s="3">
        <v>45807</v>
      </c>
    </row>
    <row r="28" spans="1:50">
      <c r="A28" s="28" t="s">
        <v>50</v>
      </c>
      <c r="B28" s="28"/>
      <c r="C28" s="27" t="s">
        <v>49</v>
      </c>
      <c r="D28" s="27"/>
      <c r="E28" s="5">
        <v>0.85</v>
      </c>
      <c r="F28" s="1">
        <v>45802</v>
      </c>
      <c r="G28" s="3">
        <v>45810</v>
      </c>
    </row>
    <row r="29" spans="1:50">
      <c r="A29" s="28" t="s">
        <v>51</v>
      </c>
      <c r="B29" s="28"/>
      <c r="C29" s="27" t="s">
        <v>49</v>
      </c>
      <c r="D29" s="27"/>
      <c r="E29" s="5">
        <v>0.85</v>
      </c>
      <c r="F29" s="3">
        <v>45810</v>
      </c>
      <c r="G29" s="3">
        <v>45821</v>
      </c>
    </row>
    <row r="30" spans="1:50">
      <c r="A30" s="28" t="s">
        <v>52</v>
      </c>
      <c r="B30" s="28"/>
      <c r="C30" s="28" t="s">
        <v>53</v>
      </c>
      <c r="D30" s="28"/>
      <c r="E30" s="5">
        <v>0.45</v>
      </c>
      <c r="F30" s="1">
        <v>45807</v>
      </c>
      <c r="G30" s="3">
        <v>45821</v>
      </c>
    </row>
    <row r="32" spans="1:50">
      <c r="A32" s="27" t="s">
        <v>54</v>
      </c>
      <c r="B32" s="27"/>
      <c r="F32" s="1">
        <v>45824</v>
      </c>
      <c r="G32" s="3">
        <v>45840</v>
      </c>
    </row>
    <row r="33" spans="1:7">
      <c r="A33" s="28" t="s">
        <v>55</v>
      </c>
      <c r="B33" s="28"/>
      <c r="C33" s="27" t="s">
        <v>49</v>
      </c>
      <c r="D33" s="27"/>
      <c r="E33" s="5">
        <v>0.45</v>
      </c>
      <c r="F33" s="1">
        <v>45824</v>
      </c>
      <c r="G33" s="1">
        <v>45832</v>
      </c>
    </row>
    <row r="34" spans="1:7">
      <c r="A34" s="28" t="s">
        <v>56</v>
      </c>
      <c r="B34" s="28"/>
      <c r="C34" s="27" t="s">
        <v>49</v>
      </c>
      <c r="D34" s="27"/>
      <c r="E34" s="5">
        <v>0.85</v>
      </c>
      <c r="F34" s="1">
        <v>45828</v>
      </c>
      <c r="G34" s="3">
        <v>45840</v>
      </c>
    </row>
    <row r="35" spans="1:7">
      <c r="A35" s="28" t="s">
        <v>57</v>
      </c>
      <c r="B35" s="28"/>
      <c r="C35" s="27" t="s">
        <v>42</v>
      </c>
      <c r="D35" s="27"/>
      <c r="E35" s="18">
        <v>0.55000000000000004</v>
      </c>
      <c r="F35" s="1">
        <f>G35-8</f>
        <v>45832</v>
      </c>
      <c r="G35" s="3">
        <v>45840</v>
      </c>
    </row>
    <row r="36" spans="1:7">
      <c r="F36" s="1"/>
      <c r="G36" s="3"/>
    </row>
    <row r="37" spans="1:7">
      <c r="A37" s="27" t="s">
        <v>58</v>
      </c>
      <c r="B37" s="27"/>
      <c r="F37" s="1">
        <v>45841</v>
      </c>
      <c r="G37" s="3">
        <v>45856</v>
      </c>
    </row>
    <row r="38" spans="1:7">
      <c r="A38" s="29" t="s">
        <v>59</v>
      </c>
      <c r="B38" s="29"/>
      <c r="C38" s="26" t="s">
        <v>60</v>
      </c>
      <c r="D38" s="26"/>
      <c r="E38" s="18">
        <v>0.9</v>
      </c>
      <c r="F38" s="1">
        <v>45846</v>
      </c>
      <c r="G38" s="3">
        <v>45853</v>
      </c>
    </row>
    <row r="39" spans="1:7">
      <c r="A39" s="29" t="s">
        <v>61</v>
      </c>
      <c r="B39" s="29"/>
      <c r="C39" s="26" t="s">
        <v>62</v>
      </c>
      <c r="D39" s="26"/>
      <c r="E39" s="18">
        <v>0.65</v>
      </c>
      <c r="F39" s="1">
        <v>45847</v>
      </c>
      <c r="G39" s="3">
        <v>45854</v>
      </c>
    </row>
    <row r="40" spans="1:7">
      <c r="A40" s="29" t="s">
        <v>63</v>
      </c>
      <c r="B40" s="29"/>
      <c r="C40" s="26" t="s">
        <v>64</v>
      </c>
      <c r="D40" s="26"/>
      <c r="E40" s="18">
        <v>0.65</v>
      </c>
      <c r="F40" s="1">
        <v>45848</v>
      </c>
      <c r="G40" s="3">
        <v>45855</v>
      </c>
    </row>
    <row r="41" spans="1:7">
      <c r="A41" s="29" t="s">
        <v>65</v>
      </c>
      <c r="B41" s="29"/>
      <c r="C41" s="26" t="s">
        <v>66</v>
      </c>
      <c r="D41" s="26"/>
      <c r="E41" s="18">
        <v>0.7</v>
      </c>
      <c r="F41" s="1">
        <v>45849</v>
      </c>
      <c r="G41" s="3">
        <v>45856</v>
      </c>
    </row>
    <row r="42" spans="1:7">
      <c r="E42" s="18"/>
      <c r="F42" s="1"/>
      <c r="G42" s="3"/>
    </row>
    <row r="43" spans="1:7">
      <c r="A43" s="27" t="s">
        <v>67</v>
      </c>
      <c r="B43" s="27"/>
      <c r="E43" s="18"/>
      <c r="F43" s="3">
        <v>45859</v>
      </c>
      <c r="G43" s="3">
        <v>45876</v>
      </c>
    </row>
    <row r="44" spans="1:7">
      <c r="A44" s="27" t="s">
        <v>68</v>
      </c>
      <c r="B44" s="27"/>
      <c r="C44" s="26" t="s">
        <v>69</v>
      </c>
      <c r="D44" s="26"/>
      <c r="E44" s="5">
        <v>0.45</v>
      </c>
      <c r="F44" s="3">
        <v>45859</v>
      </c>
      <c r="G44" s="3">
        <v>45868</v>
      </c>
    </row>
    <row r="45" spans="1:7">
      <c r="A45" s="27" t="s">
        <v>70</v>
      </c>
      <c r="B45" s="27"/>
      <c r="C45" s="26" t="s">
        <v>71</v>
      </c>
      <c r="D45" s="26"/>
      <c r="E45" s="5">
        <v>0.85</v>
      </c>
      <c r="F45" s="1">
        <v>45862</v>
      </c>
      <c r="G45" s="3">
        <v>45876</v>
      </c>
    </row>
    <row r="46" spans="1:7">
      <c r="A46" s="27" t="s">
        <v>72</v>
      </c>
      <c r="B46" s="27"/>
      <c r="C46" s="26" t="s">
        <v>73</v>
      </c>
      <c r="D46" s="26"/>
      <c r="E46" s="18">
        <v>0.65</v>
      </c>
      <c r="F46" s="3">
        <v>45868</v>
      </c>
      <c r="G46" s="3">
        <v>45876</v>
      </c>
    </row>
    <row r="47" spans="1:7">
      <c r="E47" s="18"/>
      <c r="F47" s="1"/>
      <c r="G47" s="3"/>
    </row>
    <row r="48" spans="1:7">
      <c r="A48" s="27" t="s">
        <v>74</v>
      </c>
      <c r="B48" s="27"/>
      <c r="E48" s="18"/>
      <c r="F48" s="1">
        <v>45877</v>
      </c>
      <c r="G48" s="3">
        <v>45895</v>
      </c>
    </row>
    <row r="49" spans="1:7">
      <c r="A49" s="29" t="s">
        <v>75</v>
      </c>
      <c r="B49" s="29"/>
      <c r="C49" s="26" t="s">
        <v>76</v>
      </c>
      <c r="D49" s="26"/>
      <c r="E49" s="18">
        <v>0.9</v>
      </c>
      <c r="F49" s="1">
        <v>45877</v>
      </c>
      <c r="G49" s="3">
        <f>F49+7</f>
        <v>45884</v>
      </c>
    </row>
    <row r="50" spans="1:7">
      <c r="A50" s="29" t="s">
        <v>77</v>
      </c>
      <c r="B50" s="29"/>
      <c r="C50" s="26" t="s">
        <v>78</v>
      </c>
      <c r="D50" s="26"/>
      <c r="E50" s="5">
        <v>0.45</v>
      </c>
      <c r="F50" s="3">
        <v>45884</v>
      </c>
      <c r="G50" s="3">
        <f>F50+6</f>
        <v>45890</v>
      </c>
    </row>
    <row r="51" spans="1:7">
      <c r="A51" s="29" t="s">
        <v>79</v>
      </c>
      <c r="B51" s="29"/>
      <c r="C51" s="27" t="s">
        <v>80</v>
      </c>
      <c r="D51" s="27"/>
      <c r="E51" s="18">
        <v>0.9</v>
      </c>
      <c r="F51" s="3">
        <v>45884</v>
      </c>
      <c r="G51" s="3">
        <f>F51+5</f>
        <v>45889</v>
      </c>
    </row>
    <row r="52" spans="1:7">
      <c r="A52" s="29" t="s">
        <v>81</v>
      </c>
      <c r="B52" s="29"/>
      <c r="C52" s="26" t="s">
        <v>82</v>
      </c>
      <c r="D52" s="26"/>
      <c r="E52" s="5">
        <v>0.85</v>
      </c>
      <c r="F52" s="3">
        <v>45890</v>
      </c>
      <c r="G52" s="3">
        <v>45893</v>
      </c>
    </row>
    <row r="53" spans="1:7">
      <c r="A53" s="29" t="s">
        <v>83</v>
      </c>
      <c r="B53" s="29"/>
      <c r="C53" s="26" t="s">
        <v>84</v>
      </c>
      <c r="D53" s="26"/>
      <c r="E53" s="18">
        <v>0.8</v>
      </c>
      <c r="F53" s="3">
        <v>45889</v>
      </c>
      <c r="G53" s="3">
        <v>45895</v>
      </c>
    </row>
    <row r="54" spans="1:7">
      <c r="A54" s="30" t="s">
        <v>85</v>
      </c>
      <c r="B54" s="30"/>
      <c r="C54" s="26" t="s">
        <v>86</v>
      </c>
      <c r="D54" s="26"/>
      <c r="E54" s="18">
        <v>1</v>
      </c>
      <c r="F54" s="1">
        <v>45893</v>
      </c>
      <c r="G54" s="3">
        <v>45895</v>
      </c>
    </row>
  </sheetData>
  <mergeCells count="97">
    <mergeCell ref="A25:B25"/>
    <mergeCell ref="U4:Y4"/>
    <mergeCell ref="A21:B21"/>
    <mergeCell ref="A6:B6"/>
    <mergeCell ref="A7:B7"/>
    <mergeCell ref="A9:B9"/>
    <mergeCell ref="A10:B10"/>
    <mergeCell ref="N4:R4"/>
    <mergeCell ref="A8:B8"/>
    <mergeCell ref="A14:B14"/>
    <mergeCell ref="A15:B15"/>
    <mergeCell ref="A11:B11"/>
    <mergeCell ref="A13:B13"/>
    <mergeCell ref="A20:B20"/>
    <mergeCell ref="A12:B12"/>
    <mergeCell ref="A18:B18"/>
    <mergeCell ref="A19:B19"/>
    <mergeCell ref="A16:B16"/>
    <mergeCell ref="A32:B32"/>
    <mergeCell ref="A34:B34"/>
    <mergeCell ref="AP4:AT4"/>
    <mergeCell ref="AW4:BA4"/>
    <mergeCell ref="BD4:BH4"/>
    <mergeCell ref="C23:D23"/>
    <mergeCell ref="C33:D33"/>
    <mergeCell ref="C26:D26"/>
    <mergeCell ref="C27:D27"/>
    <mergeCell ref="A28:B28"/>
    <mergeCell ref="A29:B29"/>
    <mergeCell ref="A30:B30"/>
    <mergeCell ref="A27:B27"/>
    <mergeCell ref="A26:B26"/>
    <mergeCell ref="A22:B22"/>
    <mergeCell ref="A23:B23"/>
    <mergeCell ref="A35:B35"/>
    <mergeCell ref="A33:B33"/>
    <mergeCell ref="A37:B37"/>
    <mergeCell ref="A38:B38"/>
    <mergeCell ref="A39:B39"/>
    <mergeCell ref="A48:B48"/>
    <mergeCell ref="A49:B49"/>
    <mergeCell ref="A50:B50"/>
    <mergeCell ref="A51:B51"/>
    <mergeCell ref="A40:B40"/>
    <mergeCell ref="A41:B41"/>
    <mergeCell ref="A43:B43"/>
    <mergeCell ref="A44:B44"/>
    <mergeCell ref="A45:B45"/>
    <mergeCell ref="A52:B52"/>
    <mergeCell ref="A53:B53"/>
    <mergeCell ref="A54:B54"/>
    <mergeCell ref="AI4:AM4"/>
    <mergeCell ref="C8:D8"/>
    <mergeCell ref="C9:D9"/>
    <mergeCell ref="C10:D10"/>
    <mergeCell ref="C11:D11"/>
    <mergeCell ref="C14:D14"/>
    <mergeCell ref="C15:D15"/>
    <mergeCell ref="C16:D16"/>
    <mergeCell ref="C19:D19"/>
    <mergeCell ref="C20:D20"/>
    <mergeCell ref="C21:D21"/>
    <mergeCell ref="C22:D22"/>
    <mergeCell ref="A46:B46"/>
    <mergeCell ref="BY4:CC4"/>
    <mergeCell ref="CF4:CJ4"/>
    <mergeCell ref="C28:D28"/>
    <mergeCell ref="C29:D29"/>
    <mergeCell ref="C30:D30"/>
    <mergeCell ref="AB4:AF4"/>
    <mergeCell ref="C54:D54"/>
    <mergeCell ref="C53:D53"/>
    <mergeCell ref="C52:D52"/>
    <mergeCell ref="C49:D49"/>
    <mergeCell ref="C50:D50"/>
    <mergeCell ref="C51:D51"/>
    <mergeCell ref="EQ4:EW4"/>
    <mergeCell ref="C39:D39"/>
    <mergeCell ref="C38:D38"/>
    <mergeCell ref="I4:M4"/>
    <mergeCell ref="C46:D46"/>
    <mergeCell ref="C45:D45"/>
    <mergeCell ref="C44:D44"/>
    <mergeCell ref="C41:D41"/>
    <mergeCell ref="C40:D40"/>
    <mergeCell ref="C35:D35"/>
    <mergeCell ref="C34:D34"/>
    <mergeCell ref="CM4:CQ4"/>
    <mergeCell ref="CT4:CX4"/>
    <mergeCell ref="DA4:DE4"/>
    <mergeCell ref="BK4:BO4"/>
    <mergeCell ref="BR4:BV4"/>
    <mergeCell ref="DH4:DN4"/>
    <mergeCell ref="DO4:DU4"/>
    <mergeCell ref="DV4:EB4"/>
    <mergeCell ref="EC4:EI4"/>
    <mergeCell ref="EJ4:EP4"/>
  </mergeCells>
  <phoneticPr fontId="1" type="noConversion"/>
  <conditionalFormatting sqref="P7:EV11 I12:O16 Z12:EV16 I17:X23 AY17:EV23 CM24:EV30 I32:BX35 I24:AX31 CP31:EV35 I36:CO41 DF36:EV41 I42:DG46 DZ42:EV46 I47:DY54 ES47:EV54">
    <cfRule type="expression" dxfId="1" priority="6">
      <formula>AND(I$6&gt;=$F8,I$6&lt;=$G8)</formula>
    </cfRule>
  </conditionalFormatting>
  <conditionalFormatting sqref="E7:E35 E37:E54">
    <cfRule type="dataBar" priority="2">
      <dataBar>
        <cfvo type="percent" val="0"/>
        <cfvo type="percent" val="100"/>
        <color rgb="FF00B050"/>
      </dataBar>
      <extLst>
        <ext xmlns:x14="http://schemas.microsoft.com/office/spreadsheetml/2009/9/main" uri="{B025F937-C7B1-47D3-B67F-A62EFF666E3E}">
          <x14:id>{B26B8990-70D8-4103-ACF9-85E476EF16C7}</x14:id>
        </ext>
      </extLst>
    </cfRule>
  </conditionalFormatting>
  <conditionalFormatting sqref="I8:O11 P13:Y16 Y18:AX23 AY25:CL31 BY32:CO35 CP37:DE41 DH43:DY46 DZ48:ER54">
    <cfRule type="expression" dxfId="0" priority="8">
      <formula>AND(I$6&gt;=$F8,I$6&lt;=$G8)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6B8990-70D8-4103-ACF9-85E476EF16C7}">
            <x14:dataBar minLength="0" maxLength="100" border="1" gradient="0">
              <x14:cfvo type="percent">
                <xm:f>0</xm:f>
              </x14:cfvo>
              <x14:cfvo type="percent">
                <xm:f>100</xm:f>
              </x14:cfvo>
              <x14:borderColor rgb="FF000000"/>
              <x14:negativeFillColor rgb="FFFF0000"/>
              <x14:axisColor rgb="FF000000"/>
            </x14:dataBar>
          </x14:cfRule>
          <xm:sqref>E7:E35 E37:E54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Belen Alarcon Hidalgo (Alumno)</dc:creator>
  <cp:keywords/>
  <dc:description/>
  <cp:lastModifiedBy/>
  <cp:revision/>
  <dcterms:created xsi:type="dcterms:W3CDTF">2025-04-10T16:51:00Z</dcterms:created>
  <dcterms:modified xsi:type="dcterms:W3CDTF">2025-06-24T01:27:36Z</dcterms:modified>
  <cp:category/>
  <cp:contentStatus/>
</cp:coreProperties>
</file>